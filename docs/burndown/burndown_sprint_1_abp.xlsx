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rndown" sheetId="1" state="visible" r:id="rId3"/>
    <sheet name="Atividad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<sst xmlns="http://schemas.openxmlformats.org/spreadsheetml/2006/main" count="90" uniqueCount="78">
  <si>
    <t xml:space="preserve">Burndown da Sprint 1 · MultiCore ABP</t>
  </si>
  <si>
    <t xml:space="preserve">Período: 05/10 a 19/10/2026. Pontos Fibonacci estimados; datas de conclusão das issues do GitHub.</t>
  </si>
  <si>
    <t xml:space="preserve">Pontos planejados</t>
  </si>
  <si>
    <t xml:space="preserve">Pontos concluídos</t>
  </si>
  <si>
    <t xml:space="preserve">Atividades</t>
  </si>
  <si>
    <t xml:space="preserve">Duração (dias)</t>
  </si>
  <si>
    <t xml:space="preserve">Pontos concluídos por atividade em cada dia</t>
  </si>
  <si>
    <t xml:space="preserve">Data</t>
  </si>
  <si>
    <t xml:space="preserve">Dia</t>
  </si>
  <si>
    <t xml:space="preserve">#2 Figma</t>
  </si>
  <si>
    <t xml:space="preserve">#5 Casos de Uso</t>
  </si>
  <si>
    <t xml:space="preserve">#6 Banco de Dados</t>
  </si>
  <si>
    <t xml:space="preserve">#7 Conteúdo</t>
  </si>
  <si>
    <t xml:space="preserve">Total do dia</t>
  </si>
  <si>
    <t xml:space="preserve">Acumulado</t>
  </si>
  <si>
    <t xml:space="preserve">Saldo real</t>
  </si>
  <si>
    <t xml:space="preserve">Saldo ideal</t>
  </si>
  <si>
    <t xml:space="preserve">Issues encerradas</t>
  </si>
  <si>
    <t xml:space="preserve">Seg</t>
  </si>
  <si>
    <t xml:space="preserve">Ter</t>
  </si>
  <si>
    <t xml:space="preserve">Qua</t>
  </si>
  <si>
    <t xml:space="preserve">Qui</t>
  </si>
  <si>
    <t xml:space="preserve">Sex</t>
  </si>
  <si>
    <t xml:space="preserve">Sáb</t>
  </si>
  <si>
    <t xml:space="preserve">Dom</t>
  </si>
  <si>
    <t xml:space="preserve">Total da Sprint 1</t>
  </si>
  <si>
    <t xml:space="preserve">Leitura: dias em verde tiveram entregas. Saldo real acima da linha ideal = atrasado; abaixo = adiantado. Edite os pontos em Atividades!F6:F9.</t>
  </si>
  <si>
    <t xml:space="preserve">Atividades da Sprint 1</t>
  </si>
  <si>
    <t xml:space="preserve">Datas e status vêm das issues do GitHub. Os pontos Fibonacci (células azuis) são estimativas e podem ser editadas: o burndown recalcula sozinho.</t>
  </si>
  <si>
    <t xml:space="preserve">Issue</t>
  </si>
  <si>
    <t xml:space="preserve">Atividade</t>
  </si>
  <si>
    <t xml:space="preserve">Área</t>
  </si>
  <si>
    <t xml:space="preserve">Responsáveis</t>
  </si>
  <si>
    <t xml:space="preserve">Data de conclusão</t>
  </si>
  <si>
    <t xml:space="preserve">Pontos Fibonacci</t>
  </si>
  <si>
    <t xml:space="preserve">Critério da estimativa</t>
  </si>
  <si>
    <t xml:space="preserve">Status</t>
  </si>
  <si>
    <t xml:space="preserve">Fonte</t>
  </si>
  <si>
    <t xml:space="preserve">#2</t>
  </si>
  <si>
    <t xml:space="preserve">Protótipo da aplicação no Figma</t>
  </si>
  <si>
    <t xml:space="preserve">Design</t>
  </si>
  <si>
    <t xml:space="preserve">eduardasantosalves, Juliocms46</t>
  </si>
  <si>
    <t xml:space="preserve">Telas e fluxo de navegação de toda a plataforma; complexidade média-alta.</t>
  </si>
  <si>
    <t xml:space="preserve">Concluída</t>
  </si>
  <si>
    <t xml:space="preserve">https://github.com/MultiCoreDSM/ABP/issues/2</t>
  </si>
  <si>
    <t xml:space="preserve">#5</t>
  </si>
  <si>
    <t xml:space="preserve">Diagrama de Casos de Uso</t>
  </si>
  <si>
    <t xml:space="preserve">Documentação / Modelagem</t>
  </si>
  <si>
    <t xml:space="preserve">Enzo2712, Rafinbolis</t>
  </si>
  <si>
    <t xml:space="preserve">Entrega única e bem delimitada (atores e funcionalidades); menor escopo da sprint.</t>
  </si>
  <si>
    <t xml:space="preserve">https://github.com/MultiCoreDSM/ABP/issues/5</t>
  </si>
  <si>
    <t xml:space="preserve">#6</t>
  </si>
  <si>
    <t xml:space="preserve">Modelagem do Banco de Dados</t>
  </si>
  <si>
    <t xml:space="preserve">Banco de Dados</t>
  </si>
  <si>
    <t xml:space="preserve">Araujojvl, GustavoMGreco</t>
  </si>
  <si>
    <t xml:space="preserve">Várias entidades e relacionamentos (candidatos, temas, questões, alternativas, respostas).</t>
  </si>
  <si>
    <t xml:space="preserve">https://github.com/MultiCoreDSM/ABP/issues/6</t>
  </si>
  <si>
    <t xml:space="preserve">#7</t>
  </si>
  <si>
    <t xml:space="preserve">Conteúdo das aulas do curso</t>
  </si>
  <si>
    <t xml:space="preserve">GabrielBechtlufft, YanRafael2711</t>
  </si>
  <si>
    <t xml:space="preserve">Maior volume: materiais de 12 temas e as questões da certificação.</t>
  </si>
  <si>
    <t xml:space="preserve">https://github.com/MultiCoreDSM/ABP/issues/7</t>
  </si>
  <si>
    <t xml:space="preserve">Total estimado da Sprint 1</t>
  </si>
  <si>
    <t xml:space="preserve">Fontes e metodologia</t>
  </si>
  <si>
    <t xml:space="preserve">Repositório</t>
  </si>
  <si>
    <t xml:space="preserve">https://github.com/MultiCoreDSM/ABP</t>
  </si>
  <si>
    <t xml:space="preserve">Backlog da Sprint 1</t>
  </si>
  <si>
    <t xml:space="preserve">https://github.com/MultiCoreDSM/ABP/blob/main/docs/sprints/sprint-1/BACKLOG.md</t>
  </si>
  <si>
    <t xml:space="preserve">Kanban ABP</t>
  </si>
  <si>
    <t xml:space="preserve">https://github.com/users/MultiCoreDSM/projects/1</t>
  </si>
  <si>
    <t xml:space="preserve">Período</t>
  </si>
  <si>
    <t xml:space="preserve">05/10/2026 (abertura das issues) a 19/10/2026 (último fechamento), 15 dias corridos.</t>
  </si>
  <si>
    <t xml:space="preserve">Regra de baixa</t>
  </si>
  <si>
    <t xml:space="preserve">Os pontos são baixados integralmente na data de fechamento da issue; não há progresso parcial.</t>
  </si>
  <si>
    <t xml:space="preserve">Escala</t>
  </si>
  <si>
    <t xml:space="preserve">Fibonacci (5, 8, 13), relativa ao escopo e complexidade das quatro entregas. Estimativa nossa, não registrada no GitHub.</t>
  </si>
  <si>
    <t xml:space="preserve">Linha ideal</t>
  </si>
  <si>
    <t xml:space="preserve">Queda linear do total de pontos em 05/10 até zero em 19/10.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</si>
</sst>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dd/mm/yyyy"/>
    <numFmt numFmtId="167" formatCode="0;\-0;\·"/>
    <numFmt numFmtId="168" formatCode="0.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7365D"/>
      <name val="Arial"/>
      <family val="0"/>
      <charset val="1"/>
    </font>
    <font>
      <i val="true"/>
      <sz val="10"/>
      <color rgb="FF7F8C8D"/>
      <name val="Arial"/>
      <family val="0"/>
      <charset val="1"/>
    </font>
    <font>
      <b val="true"/>
      <sz val="10"/>
      <color rgb="FF17365D"/>
      <name val="Arial"/>
      <family val="0"/>
      <charset val="1"/>
    </font>
    <font>
      <b val="true"/>
      <sz val="14"/>
      <color rgb="FF2F75B5"/>
      <name val="Arial"/>
      <family val="0"/>
      <charset val="1"/>
    </font>
    <font>
      <b val="true"/>
      <sz val="11"/>
      <color rgb="FF17365D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0000FF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9EAF7"/>
        <bgColor rgb="FFD9E1F2"/>
      </patternFill>
    </fill>
    <fill>
      <patternFill patternType="solid">
        <fgColor rgb="FF17365D"/>
        <bgColor rgb="FF333399"/>
      </patternFill>
    </fill>
    <fill>
      <patternFill patternType="solid">
        <fgColor rgb="FFF2F4F7"/>
        <bgColor rgb="FFFFFFFF"/>
      </patternFill>
    </fill>
    <fill>
      <patternFill patternType="solid">
        <fgColor rgb="FFE2F0D9"/>
        <bgColor rgb="FFD9EA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6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b val="1"/>
        <color rgb="FF375623"/>
      </font>
      <fill>
        <patternFill>
          <bgColor rgb="FFE2F0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A6A6A6"/>
      <rgbColor rgb="FF878787"/>
      <rgbColor rgb="FF9999FF"/>
      <rgbColor rgb="FF993366"/>
      <rgbColor rgb="FFF2F4F7"/>
      <rgbColor rgb="FFD9EAF7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E2F0D9"/>
      <rgbColor rgb="FFFFFF99"/>
      <rgbColor rgb="FF99CCFF"/>
      <rgbColor rgb="FFFF99CC"/>
      <rgbColor rgb="FFCC99FF"/>
      <rgbColor rgb="FFFFCC99"/>
      <rgbColor rgb="FF2F75B5"/>
      <rgbColor rgb="FF33CCCC"/>
      <rgbColor rgb="FF99CC00"/>
      <rgbColor rgb="FFFFCC00"/>
      <rgbColor rgb="FFFF9900"/>
      <rgbColor rgb="FFED7D31"/>
      <rgbColor rgb="FF666699"/>
      <rgbColor rgb="FF7F8C8D"/>
      <rgbColor rgb="FF17365D"/>
      <rgbColor rgb="FF70AD47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Burndown da Sprint 1 (pontos restantes)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Burndown!J10</c:f>
              <c:strCache>
                <c:ptCount val="1"/>
                <c:pt idx="0">
                  <c:v>Saldo ideal</c:v>
                </c:pt>
              </c:strCache>
            </c:strRef>
          </c:tx>
          <c:spPr>
            <a:solidFill>
              <a:srgbClr val="a6a6a6"/>
            </a:solidFill>
            <a:ln w="21960">
              <a:solidFill>
                <a:srgbClr val="a6a6a6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Burndown!$A$11:$A$25</c:f>
              <c:strCache>
                <c:ptCount val="15"/>
                <c:pt idx="0">
                  <c:v>05/10/2026</c:v>
                </c:pt>
                <c:pt idx="1">
                  <c:v>06/10/2026</c:v>
                </c:pt>
                <c:pt idx="2">
                  <c:v>07/10/2026</c:v>
                </c:pt>
                <c:pt idx="3">
                  <c:v>08/10/2026</c:v>
                </c:pt>
                <c:pt idx="4">
                  <c:v>09/10/2026</c:v>
                </c:pt>
                <c:pt idx="5">
                  <c:v>10/10/2026</c:v>
                </c:pt>
                <c:pt idx="6">
                  <c:v>11/10/2026</c:v>
                </c:pt>
                <c:pt idx="7">
                  <c:v>12/10/2026</c:v>
                </c:pt>
                <c:pt idx="8">
                  <c:v>13/10/2026</c:v>
                </c:pt>
                <c:pt idx="9">
                  <c:v>14/10/2026</c:v>
                </c:pt>
                <c:pt idx="10">
                  <c:v>15/10/2026</c:v>
                </c:pt>
                <c:pt idx="11">
                  <c:v>16/10/2026</c:v>
                </c:pt>
                <c:pt idx="12">
                  <c:v>17/10/2026</c:v>
                </c:pt>
                <c:pt idx="13">
                  <c:v>18/10/2026</c:v>
                </c:pt>
                <c:pt idx="14">
                  <c:v>19/10/2026</c:v>
                </c:pt>
              </c:strCache>
            </c:strRef>
          </c:cat>
          <c:val>
            <c:numRef>
              <c:f>Burndown!$J$11:$J$25</c:f>
              <c:numCache>
                <c:formatCode>0.0</c:formatCode>
                <c:ptCount val="15"/>
                <c:pt idx="0">
                  <c:v>34</c:v>
                </c:pt>
                <c:pt idx="1">
                  <c:v>31.5714285714286</c:v>
                </c:pt>
                <c:pt idx="2">
                  <c:v>29.1428571428571</c:v>
                </c:pt>
                <c:pt idx="3">
                  <c:v>26.7142857142857</c:v>
                </c:pt>
                <c:pt idx="4">
                  <c:v>24.2857142857143</c:v>
                </c:pt>
                <c:pt idx="5">
                  <c:v>21.8571428571429</c:v>
                </c:pt>
                <c:pt idx="6">
                  <c:v>19.4285714285714</c:v>
                </c:pt>
                <c:pt idx="7">
                  <c:v>17</c:v>
                </c:pt>
                <c:pt idx="8">
                  <c:v>14.5714285714286</c:v>
                </c:pt>
                <c:pt idx="9">
                  <c:v>12.1428571428571</c:v>
                </c:pt>
                <c:pt idx="10">
                  <c:v>9.71428571428571</c:v>
                </c:pt>
                <c:pt idx="11">
                  <c:v>7.28571428571429</c:v>
                </c:pt>
                <c:pt idx="12">
                  <c:v>4.85714285714286</c:v>
                </c:pt>
                <c:pt idx="13">
                  <c:v>2.42857142857143</c:v>
                </c:pt>
                <c:pt idx="14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Burndown!I10</c:f>
              <c:strCache>
                <c:ptCount val="1"/>
                <c:pt idx="0">
                  <c:v>Saldo real</c:v>
                </c:pt>
              </c:strCache>
            </c:strRef>
          </c:tx>
          <c:spPr>
            <a:solidFill>
              <a:srgbClr val="2f75b5"/>
            </a:solidFill>
            <a:ln w="38160">
              <a:solidFill>
                <a:srgbClr val="2f75b5"/>
              </a:solidFill>
              <a:round/>
            </a:ln>
          </c:spPr>
          <c:marker>
            <c:symbol val="circle"/>
            <c:size val="6"/>
            <c:spPr>
              <a:solidFill>
                <a:srgbClr val="2f75b5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Burndown!$A$11:$A$25</c:f>
              <c:strCache>
                <c:ptCount val="15"/>
                <c:pt idx="0">
                  <c:v>05/10/2026</c:v>
                </c:pt>
                <c:pt idx="1">
                  <c:v>06/10/2026</c:v>
                </c:pt>
                <c:pt idx="2">
                  <c:v>07/10/2026</c:v>
                </c:pt>
                <c:pt idx="3">
                  <c:v>08/10/2026</c:v>
                </c:pt>
                <c:pt idx="4">
                  <c:v>09/10/2026</c:v>
                </c:pt>
                <c:pt idx="5">
                  <c:v>10/10/2026</c:v>
                </c:pt>
                <c:pt idx="6">
                  <c:v>11/10/2026</c:v>
                </c:pt>
                <c:pt idx="7">
                  <c:v>12/10/2026</c:v>
                </c:pt>
                <c:pt idx="8">
                  <c:v>13/10/2026</c:v>
                </c:pt>
                <c:pt idx="9">
                  <c:v>14/10/2026</c:v>
                </c:pt>
                <c:pt idx="10">
                  <c:v>15/10/2026</c:v>
                </c:pt>
                <c:pt idx="11">
                  <c:v>16/10/2026</c:v>
                </c:pt>
                <c:pt idx="12">
                  <c:v>17/10/2026</c:v>
                </c:pt>
                <c:pt idx="13">
                  <c:v>18/10/2026</c:v>
                </c:pt>
                <c:pt idx="14">
                  <c:v>19/10/2026</c:v>
                </c:pt>
              </c:strCache>
            </c:strRef>
          </c:cat>
          <c:val>
            <c:numRef>
              <c:f>Burndown!$I$11:$I$25</c:f>
              <c:numCache>
                <c:formatCode>0.0</c:formatCode>
                <c:ptCount val="15"/>
                <c:pt idx="0">
                  <c:v>34</c:v>
                </c:pt>
                <c:pt idx="1">
                  <c:v>34</c:v>
                </c:pt>
                <c:pt idx="2">
                  <c:v>34</c:v>
                </c:pt>
                <c:pt idx="3">
                  <c:v>34</c:v>
                </c:pt>
                <c:pt idx="4">
                  <c:v>34</c:v>
                </c:pt>
                <c:pt idx="5">
                  <c:v>34</c:v>
                </c:pt>
                <c:pt idx="6">
                  <c:v>34</c:v>
                </c:pt>
                <c:pt idx="7">
                  <c:v>34</c:v>
                </c:pt>
                <c:pt idx="8">
                  <c:v>21</c:v>
                </c:pt>
                <c:pt idx="9">
                  <c:v>21</c:v>
                </c:pt>
                <c:pt idx="10">
                  <c:v>21</c:v>
                </c:pt>
                <c:pt idx="11">
                  <c:v>16</c:v>
                </c:pt>
                <c:pt idx="12">
                  <c:v>16</c:v>
                </c:pt>
                <c:pt idx="13">
                  <c:v>16</c:v>
                </c:pt>
                <c:pt idx="14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5236089"/>
        <c:axId val="26182184"/>
      </c:lineChart>
      <c:catAx>
        <c:axId val="2523608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Data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/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182184"/>
        <c:crosses val="autoZero"/>
        <c:auto val="1"/>
        <c:lblAlgn val="ctr"/>
        <c:lblOffset val="100"/>
        <c:noMultiLvlLbl val="0"/>
      </c:catAx>
      <c:valAx>
        <c:axId val="26182184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Pontos restantes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236089"/>
        <c:crosses val="autoZero"/>
        <c:crossBetween val="between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Pontos concluídos por dia, por atividade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Burndown!C10</c:f>
              <c:strCache>
                <c:ptCount val="1"/>
                <c:pt idx="0">
                  <c:v>#2 Figma</c:v>
                </c:pt>
              </c:strCache>
            </c:strRef>
          </c:tx>
          <c:spPr>
            <a:solidFill>
              <a:srgbClr val="2f75b5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Burndown!$A$11:$A$25</c:f>
              <c:strCache>
                <c:ptCount val="15"/>
                <c:pt idx="0">
                  <c:v>05/10/2026</c:v>
                </c:pt>
                <c:pt idx="1">
                  <c:v>06/10/2026</c:v>
                </c:pt>
                <c:pt idx="2">
                  <c:v>07/10/2026</c:v>
                </c:pt>
                <c:pt idx="3">
                  <c:v>08/10/2026</c:v>
                </c:pt>
                <c:pt idx="4">
                  <c:v>09/10/2026</c:v>
                </c:pt>
                <c:pt idx="5">
                  <c:v>10/10/2026</c:v>
                </c:pt>
                <c:pt idx="6">
                  <c:v>11/10/2026</c:v>
                </c:pt>
                <c:pt idx="7">
                  <c:v>12/10/2026</c:v>
                </c:pt>
                <c:pt idx="8">
                  <c:v>13/10/2026</c:v>
                </c:pt>
                <c:pt idx="9">
                  <c:v>14/10/2026</c:v>
                </c:pt>
                <c:pt idx="10">
                  <c:v>15/10/2026</c:v>
                </c:pt>
                <c:pt idx="11">
                  <c:v>16/10/2026</c:v>
                </c:pt>
                <c:pt idx="12">
                  <c:v>17/10/2026</c:v>
                </c:pt>
                <c:pt idx="13">
                  <c:v>18/10/2026</c:v>
                </c:pt>
                <c:pt idx="14">
                  <c:v>19/10/2026</c:v>
                </c:pt>
              </c:strCache>
            </c:strRef>
          </c:cat>
          <c:val>
            <c:numRef>
              <c:f>Burndown!$C$11:$C$25</c:f>
              <c:numCache>
                <c:formatCode>0;\-0;\·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8</c:v>
                </c:pt>
              </c:numCache>
            </c:numRef>
          </c:val>
        </c:ser>
        <c:ser>
          <c:idx val="1"/>
          <c:order val="1"/>
          <c:tx>
            <c:strRef>
              <c:f>Burndown!D10</c:f>
              <c:strCache>
                <c:ptCount val="1"/>
                <c:pt idx="0">
                  <c:v>#5 Casos de Uso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Burndown!$A$11:$A$25</c:f>
              <c:strCache>
                <c:ptCount val="15"/>
                <c:pt idx="0">
                  <c:v>05/10/2026</c:v>
                </c:pt>
                <c:pt idx="1">
                  <c:v>06/10/2026</c:v>
                </c:pt>
                <c:pt idx="2">
                  <c:v>07/10/2026</c:v>
                </c:pt>
                <c:pt idx="3">
                  <c:v>08/10/2026</c:v>
                </c:pt>
                <c:pt idx="4">
                  <c:v>09/10/2026</c:v>
                </c:pt>
                <c:pt idx="5">
                  <c:v>10/10/2026</c:v>
                </c:pt>
                <c:pt idx="6">
                  <c:v>11/10/2026</c:v>
                </c:pt>
                <c:pt idx="7">
                  <c:v>12/10/2026</c:v>
                </c:pt>
                <c:pt idx="8">
                  <c:v>13/10/2026</c:v>
                </c:pt>
                <c:pt idx="9">
                  <c:v>14/10/2026</c:v>
                </c:pt>
                <c:pt idx="10">
                  <c:v>15/10/2026</c:v>
                </c:pt>
                <c:pt idx="11">
                  <c:v>16/10/2026</c:v>
                </c:pt>
                <c:pt idx="12">
                  <c:v>17/10/2026</c:v>
                </c:pt>
                <c:pt idx="13">
                  <c:v>18/10/2026</c:v>
                </c:pt>
                <c:pt idx="14">
                  <c:v>19/10/2026</c:v>
                </c:pt>
              </c:strCache>
            </c:strRef>
          </c:cat>
          <c:val>
            <c:numRef>
              <c:f>Burndown!$D$11:$D$25</c:f>
              <c:numCache>
                <c:formatCode>0;\-0;\·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</c:ser>
        <c:ser>
          <c:idx val="2"/>
          <c:order val="2"/>
          <c:tx>
            <c:strRef>
              <c:f>Burndown!E10</c:f>
              <c:strCache>
                <c:ptCount val="1"/>
                <c:pt idx="0">
                  <c:v>#6 Banco de Dados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Burndown!$A$11:$A$25</c:f>
              <c:strCache>
                <c:ptCount val="15"/>
                <c:pt idx="0">
                  <c:v>05/10/2026</c:v>
                </c:pt>
                <c:pt idx="1">
                  <c:v>06/10/2026</c:v>
                </c:pt>
                <c:pt idx="2">
                  <c:v>07/10/2026</c:v>
                </c:pt>
                <c:pt idx="3">
                  <c:v>08/10/2026</c:v>
                </c:pt>
                <c:pt idx="4">
                  <c:v>09/10/2026</c:v>
                </c:pt>
                <c:pt idx="5">
                  <c:v>10/10/2026</c:v>
                </c:pt>
                <c:pt idx="6">
                  <c:v>11/10/2026</c:v>
                </c:pt>
                <c:pt idx="7">
                  <c:v>12/10/2026</c:v>
                </c:pt>
                <c:pt idx="8">
                  <c:v>13/10/2026</c:v>
                </c:pt>
                <c:pt idx="9">
                  <c:v>14/10/2026</c:v>
                </c:pt>
                <c:pt idx="10">
                  <c:v>15/10/2026</c:v>
                </c:pt>
                <c:pt idx="11">
                  <c:v>16/10/2026</c:v>
                </c:pt>
                <c:pt idx="12">
                  <c:v>17/10/2026</c:v>
                </c:pt>
                <c:pt idx="13">
                  <c:v>18/10/2026</c:v>
                </c:pt>
                <c:pt idx="14">
                  <c:v>19/10/2026</c:v>
                </c:pt>
              </c:strCache>
            </c:strRef>
          </c:cat>
          <c:val>
            <c:numRef>
              <c:f>Burndown!$E$11:$E$25</c:f>
              <c:numCache>
                <c:formatCode>0;\-0;\·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8</c:v>
                </c:pt>
              </c:numCache>
            </c:numRef>
          </c:val>
        </c:ser>
        <c:ser>
          <c:idx val="3"/>
          <c:order val="3"/>
          <c:tx>
            <c:strRef>
              <c:f>Burndown!F10</c:f>
              <c:strCache>
                <c:ptCount val="1"/>
                <c:pt idx="0">
                  <c:v>#7 Conteúdo</c:v>
                </c:pt>
              </c:strCache>
            </c:strRef>
          </c:tx>
          <c:spPr>
            <a:solidFill>
              <a:srgbClr val="7f60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Burndown!$A$11:$A$25</c:f>
              <c:strCache>
                <c:ptCount val="15"/>
                <c:pt idx="0">
                  <c:v>05/10/2026</c:v>
                </c:pt>
                <c:pt idx="1">
                  <c:v>06/10/2026</c:v>
                </c:pt>
                <c:pt idx="2">
                  <c:v>07/10/2026</c:v>
                </c:pt>
                <c:pt idx="3">
                  <c:v>08/10/2026</c:v>
                </c:pt>
                <c:pt idx="4">
                  <c:v>09/10/2026</c:v>
                </c:pt>
                <c:pt idx="5">
                  <c:v>10/10/2026</c:v>
                </c:pt>
                <c:pt idx="6">
                  <c:v>11/10/2026</c:v>
                </c:pt>
                <c:pt idx="7">
                  <c:v>12/10/2026</c:v>
                </c:pt>
                <c:pt idx="8">
                  <c:v>13/10/2026</c:v>
                </c:pt>
                <c:pt idx="9">
                  <c:v>14/10/2026</c:v>
                </c:pt>
                <c:pt idx="10">
                  <c:v>15/10/2026</c:v>
                </c:pt>
                <c:pt idx="11">
                  <c:v>16/10/2026</c:v>
                </c:pt>
                <c:pt idx="12">
                  <c:v>17/10/2026</c:v>
                </c:pt>
                <c:pt idx="13">
                  <c:v>18/10/2026</c:v>
                </c:pt>
                <c:pt idx="14">
                  <c:v>19/10/2026</c:v>
                </c:pt>
              </c:strCache>
            </c:strRef>
          </c:cat>
          <c:val>
            <c:numRef>
              <c:f>Burndown!$F$11:$F$25</c:f>
              <c:numCache>
                <c:formatCode>0;\-0;\·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</c:ser>
        <c:gapWidth val="150"/>
        <c:overlap val="100"/>
        <c:axId val="57079101"/>
        <c:axId val="83295507"/>
      </c:barChart>
      <c:catAx>
        <c:axId val="5707910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Data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/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295507"/>
        <c:crosses val="autoZero"/>
        <c:auto val="1"/>
        <c:lblAlgn val="ctr"/>
        <c:lblOffset val="100"/>
        <c:noMultiLvlLbl val="0"/>
      </c:catAx>
      <c:valAx>
        <c:axId val="8329550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Pontos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;\-0;\·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079101"/>
        <c:crosses val="autoZero"/>
        <c:crossBetween val="between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29</xdr:row>
      <xdr:rowOff>130680</xdr:rowOff>
    </xdr:from>
    <xdr:to>
      <xdr:col>7</xdr:col>
      <xdr:colOff>800640</xdr:colOff>
      <xdr:row>47</xdr:row>
      <xdr:rowOff>121320</xdr:rowOff>
    </xdr:to>
    <xdr:graphicFrame>
      <xdr:nvGraphicFramePr>
        <xdr:cNvPr id="0" name="Chart 1"/>
        <xdr:cNvGraphicFramePr/>
      </xdr:nvGraphicFramePr>
      <xdr:xfrm>
        <a:off x="0" y="7419960"/>
        <a:ext cx="791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49</xdr:row>
      <xdr:rowOff>130680</xdr:rowOff>
    </xdr:from>
    <xdr:to>
      <xdr:col>7</xdr:col>
      <xdr:colOff>800640</xdr:colOff>
      <xdr:row>67</xdr:row>
      <xdr:rowOff>121320</xdr:rowOff>
    </xdr:to>
    <xdr:graphicFrame>
      <xdr:nvGraphicFramePr>
        <xdr:cNvPr id="1" name="Chart 2"/>
        <xdr:cNvGraphicFramePr/>
      </xdr:nvGraphicFramePr>
      <xdr:xfrm>
        <a:off x="0" y="11229840"/>
        <a:ext cx="791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github.com/MultiCoreDSM/ABP/issues/2" TargetMode="External"/><Relationship Id="rId2" Type="http://schemas.openxmlformats.org/officeDocument/2006/relationships/hyperlink" Target="https://github.com/MultiCoreDSM/ABP/issues/5" TargetMode="External"/><Relationship Id="rId3" Type="http://schemas.openxmlformats.org/officeDocument/2006/relationships/hyperlink" Target="https://github.com/MultiCoreDSM/ABP/issues/6" TargetMode="External"/><Relationship Id="rId4" Type="http://schemas.openxmlformats.org/officeDocument/2006/relationships/hyperlink" Target="https://github.com/MultiCoreDSM/ABP/issues/7" TargetMode="External"/><Relationship Id="rId5" Type="http://schemas.openxmlformats.org/officeDocument/2006/relationships/hyperlink" Target="https://github.com/MultiCoreDSM/ABP" TargetMode="External"/><Relationship Id="rId6" Type="http://schemas.openxmlformats.org/officeDocument/2006/relationships/hyperlink" Target="https://github.com/MultiCoreDSM/ABP/blob/main/docs/sprints/sprint-1/BACKLOG.md" TargetMode="External"/><Relationship Id="rId7" Type="http://schemas.openxmlformats.org/officeDocument/2006/relationships/hyperlink" Target="https://github.com/users/MultiCoreDSM/projects/1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65D"/>
    <pageSetUpPr fitToPage="false"/>
  </sheetPr>
  <dimension ref="A2:K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5" min="5" style="0" width="17"/>
    <col collapsed="false" customWidth="true" hidden="false" outlineLevel="0" max="6" min="6" style="0" width="14"/>
    <col collapsed="false" customWidth="true" hidden="false" outlineLevel="0" max="8" min="7" style="0" width="13"/>
    <col collapsed="false" customWidth="true" hidden="false" outlineLevel="0" max="10" min="9" style="0" width="12"/>
    <col collapsed="false" customWidth="true" hidden="false" outlineLevel="0" max="11" min="11" style="0" width="18"/>
  </cols>
  <sheetData>
    <row r="2" customFormat="false" ht="19.7" hidden="false" customHeight="false" outlineLevel="0" collapsed="false">
      <c r="A2" s="1" t="s">
        <v>0</v>
      </c>
    </row>
    <row r="3" customFormat="false" ht="15" hidden="false" customHeight="false" outlineLevel="0" collapsed="false">
      <c r="A3" s="2" t="s">
        <v>1</v>
      </c>
    </row>
    <row r="5" customFormat="false" ht="31.5" hidden="false" customHeight="true" outlineLevel="0" collapsed="false">
      <c r="A5" s="3" t="s">
        <v>2</v>
      </c>
      <c r="B5" s="4" t="n">
        <f aca="false">Atividades!F11</f>
        <v>34</v>
      </c>
      <c r="C5" s="3" t="s">
        <v>3</v>
      </c>
      <c r="D5" s="4" t="n">
        <f aca="false">SUM(G11:G25)</f>
        <v>34</v>
      </c>
      <c r="E5" s="3" t="s">
        <v>4</v>
      </c>
      <c r="F5" s="4" t="n">
        <f aca="false">COUNTA(Atividades!A6:A9)</f>
        <v>4</v>
      </c>
      <c r="G5" s="3" t="s">
        <v>5</v>
      </c>
      <c r="H5" s="4" t="n">
        <f aca="false">A25-A11+1</f>
        <v>15</v>
      </c>
    </row>
    <row r="8" customFormat="false" ht="15" hidden="false" customHeight="false" outlineLevel="0" collapsed="false">
      <c r="A8" s="5" t="s">
        <v>6</v>
      </c>
    </row>
    <row r="10" customFormat="false" ht="31.5" hidden="false" customHeight="true" outlineLevel="0" collapsed="false">
      <c r="A10" s="6" t="s">
        <v>7</v>
      </c>
      <c r="B10" s="6" t="s">
        <v>8</v>
      </c>
      <c r="C10" s="6" t="s">
        <v>9</v>
      </c>
      <c r="D10" s="6" t="s">
        <v>10</v>
      </c>
      <c r="E10" s="6" t="s">
        <v>11</v>
      </c>
      <c r="F10" s="6" t="s">
        <v>12</v>
      </c>
      <c r="G10" s="6" t="s">
        <v>13</v>
      </c>
      <c r="H10" s="6" t="s">
        <v>14</v>
      </c>
      <c r="I10" s="6" t="s">
        <v>15</v>
      </c>
      <c r="J10" s="6" t="s">
        <v>16</v>
      </c>
      <c r="K10" s="6" t="s">
        <v>17</v>
      </c>
    </row>
    <row r="11" customFormat="false" ht="21.75" hidden="false" customHeight="true" outlineLevel="0" collapsed="false">
      <c r="A11" s="7" t="n">
        <v>46300</v>
      </c>
      <c r="B11" s="8" t="s">
        <v>18</v>
      </c>
      <c r="C11" s="9" t="n">
        <f aca="false">IF($A11=Atividades!$E$6,Atividades!$F$6,0)</f>
        <v>0</v>
      </c>
      <c r="D11" s="9" t="n">
        <f aca="false">IF($A11=Atividades!$E$7,Atividades!$F$7,0)</f>
        <v>0</v>
      </c>
      <c r="E11" s="9" t="n">
        <f aca="false">IF($A11=Atividades!$E$8,Atividades!$F$8,0)</f>
        <v>0</v>
      </c>
      <c r="F11" s="9" t="n">
        <f aca="false">IF($A11=Atividades!$E$9,Atividades!$F$9,0)</f>
        <v>0</v>
      </c>
      <c r="G11" s="9" t="n">
        <f aca="false">SUM(C11:F11)</f>
        <v>0</v>
      </c>
      <c r="H11" s="9" t="n">
        <f aca="false">SUM($G$11:G11)</f>
        <v>0</v>
      </c>
      <c r="I11" s="10" t="n">
        <f aca="false">$B$5-H11</f>
        <v>34</v>
      </c>
      <c r="J11" s="10" t="n">
        <f aca="false">$B$5*(1-(A11-$A$11)/($A$25-$A$11))</f>
        <v>34</v>
      </c>
      <c r="K11" s="8" t="str">
        <f aca="false">IF(G11=0,"-",MID(IF(C11&gt;0,", #2","")&amp;IF(D11&gt;0,", #5","")&amp;IF(E11&gt;0,", #6","")&amp;IF(F11&gt;0,", #7",""),3,40))</f>
        <v>-</v>
      </c>
    </row>
    <row r="12" customFormat="false" ht="21.75" hidden="false" customHeight="true" outlineLevel="0" collapsed="false">
      <c r="A12" s="7" t="n">
        <v>46301</v>
      </c>
      <c r="B12" s="8" t="s">
        <v>19</v>
      </c>
      <c r="C12" s="9" t="n">
        <f aca="false">IF($A12=Atividades!$E$6,Atividades!$F$6,0)</f>
        <v>0</v>
      </c>
      <c r="D12" s="9" t="n">
        <f aca="false">IF($A12=Atividades!$E$7,Atividades!$F$7,0)</f>
        <v>0</v>
      </c>
      <c r="E12" s="9" t="n">
        <f aca="false">IF($A12=Atividades!$E$8,Atividades!$F$8,0)</f>
        <v>0</v>
      </c>
      <c r="F12" s="9" t="n">
        <f aca="false">IF($A12=Atividades!$E$9,Atividades!$F$9,0)</f>
        <v>0</v>
      </c>
      <c r="G12" s="9" t="n">
        <f aca="false">SUM(C12:F12)</f>
        <v>0</v>
      </c>
      <c r="H12" s="9" t="n">
        <f aca="false">SUM($G$11:G12)</f>
        <v>0</v>
      </c>
      <c r="I12" s="10" t="n">
        <f aca="false">$B$5-H12</f>
        <v>34</v>
      </c>
      <c r="J12" s="10" t="n">
        <f aca="false">$B$5*(1-(A12-$A$11)/($A$25-$A$11))</f>
        <v>31.5714285714286</v>
      </c>
      <c r="K12" s="8" t="str">
        <f aca="false">IF(G12=0,"-",MID(IF(C12&gt;0,", #2","")&amp;IF(D12&gt;0,", #5","")&amp;IF(E12&gt;0,", #6","")&amp;IF(F12&gt;0,", #7",""),3,40))</f>
        <v>-</v>
      </c>
    </row>
    <row r="13" customFormat="false" ht="21.75" hidden="false" customHeight="true" outlineLevel="0" collapsed="false">
      <c r="A13" s="7" t="n">
        <v>46302</v>
      </c>
      <c r="B13" s="8" t="s">
        <v>20</v>
      </c>
      <c r="C13" s="9" t="n">
        <f aca="false">IF($A13=Atividades!$E$6,Atividades!$F$6,0)</f>
        <v>0</v>
      </c>
      <c r="D13" s="9" t="n">
        <f aca="false">IF($A13=Atividades!$E$7,Atividades!$F$7,0)</f>
        <v>0</v>
      </c>
      <c r="E13" s="9" t="n">
        <f aca="false">IF($A13=Atividades!$E$8,Atividades!$F$8,0)</f>
        <v>0</v>
      </c>
      <c r="F13" s="9" t="n">
        <f aca="false">IF($A13=Atividades!$E$9,Atividades!$F$9,0)</f>
        <v>0</v>
      </c>
      <c r="G13" s="9" t="n">
        <f aca="false">SUM(C13:F13)</f>
        <v>0</v>
      </c>
      <c r="H13" s="9" t="n">
        <f aca="false">SUM($G$11:G13)</f>
        <v>0</v>
      </c>
      <c r="I13" s="10" t="n">
        <f aca="false">$B$5-H13</f>
        <v>34</v>
      </c>
      <c r="J13" s="10" t="n">
        <f aca="false">$B$5*(1-(A13-$A$11)/($A$25-$A$11))</f>
        <v>29.1428571428571</v>
      </c>
      <c r="K13" s="8" t="str">
        <f aca="false">IF(G13=0,"-",MID(IF(C13&gt;0,", #2","")&amp;IF(D13&gt;0,", #5","")&amp;IF(E13&gt;0,", #6","")&amp;IF(F13&gt;0,", #7",""),3,40))</f>
        <v>-</v>
      </c>
    </row>
    <row r="14" customFormat="false" ht="21.75" hidden="false" customHeight="true" outlineLevel="0" collapsed="false">
      <c r="A14" s="7" t="n">
        <v>46303</v>
      </c>
      <c r="B14" s="8" t="s">
        <v>21</v>
      </c>
      <c r="C14" s="9" t="n">
        <f aca="false">IF($A14=Atividades!$E$6,Atividades!$F$6,0)</f>
        <v>0</v>
      </c>
      <c r="D14" s="9" t="n">
        <f aca="false">IF($A14=Atividades!$E$7,Atividades!$F$7,0)</f>
        <v>0</v>
      </c>
      <c r="E14" s="9" t="n">
        <f aca="false">IF($A14=Atividades!$E$8,Atividades!$F$8,0)</f>
        <v>0</v>
      </c>
      <c r="F14" s="9" t="n">
        <f aca="false">IF($A14=Atividades!$E$9,Atividades!$F$9,0)</f>
        <v>0</v>
      </c>
      <c r="G14" s="9" t="n">
        <f aca="false">SUM(C14:F14)</f>
        <v>0</v>
      </c>
      <c r="H14" s="9" t="n">
        <f aca="false">SUM($G$11:G14)</f>
        <v>0</v>
      </c>
      <c r="I14" s="10" t="n">
        <f aca="false">$B$5-H14</f>
        <v>34</v>
      </c>
      <c r="J14" s="10" t="n">
        <f aca="false">$B$5*(1-(A14-$A$11)/($A$25-$A$11))</f>
        <v>26.7142857142857</v>
      </c>
      <c r="K14" s="8" t="str">
        <f aca="false">IF(G14=0,"-",MID(IF(C14&gt;0,", #2","")&amp;IF(D14&gt;0,", #5","")&amp;IF(E14&gt;0,", #6","")&amp;IF(F14&gt;0,", #7",""),3,40))</f>
        <v>-</v>
      </c>
    </row>
    <row r="15" customFormat="false" ht="21.75" hidden="false" customHeight="true" outlineLevel="0" collapsed="false">
      <c r="A15" s="7" t="n">
        <v>46304</v>
      </c>
      <c r="B15" s="8" t="s">
        <v>22</v>
      </c>
      <c r="C15" s="9" t="n">
        <f aca="false">IF($A15=Atividades!$E$6,Atividades!$F$6,0)</f>
        <v>0</v>
      </c>
      <c r="D15" s="9" t="n">
        <f aca="false">IF($A15=Atividades!$E$7,Atividades!$F$7,0)</f>
        <v>0</v>
      </c>
      <c r="E15" s="9" t="n">
        <f aca="false">IF($A15=Atividades!$E$8,Atividades!$F$8,0)</f>
        <v>0</v>
      </c>
      <c r="F15" s="9" t="n">
        <f aca="false">IF($A15=Atividades!$E$9,Atividades!$F$9,0)</f>
        <v>0</v>
      </c>
      <c r="G15" s="9" t="n">
        <f aca="false">SUM(C15:F15)</f>
        <v>0</v>
      </c>
      <c r="H15" s="9" t="n">
        <f aca="false">SUM($G$11:G15)</f>
        <v>0</v>
      </c>
      <c r="I15" s="10" t="n">
        <f aca="false">$B$5-H15</f>
        <v>34</v>
      </c>
      <c r="J15" s="10" t="n">
        <f aca="false">$B$5*(1-(A15-$A$11)/($A$25-$A$11))</f>
        <v>24.2857142857143</v>
      </c>
      <c r="K15" s="8" t="str">
        <f aca="false">IF(G15=0,"-",MID(IF(C15&gt;0,", #2","")&amp;IF(D15&gt;0,", #5","")&amp;IF(E15&gt;0,", #6","")&amp;IF(F15&gt;0,", #7",""),3,40))</f>
        <v>-</v>
      </c>
    </row>
    <row r="16" customFormat="false" ht="21.75" hidden="false" customHeight="true" outlineLevel="0" collapsed="false">
      <c r="A16" s="7" t="n">
        <v>46305</v>
      </c>
      <c r="B16" s="8" t="s">
        <v>23</v>
      </c>
      <c r="C16" s="9" t="n">
        <f aca="false">IF($A16=Atividades!$E$6,Atividades!$F$6,0)</f>
        <v>0</v>
      </c>
      <c r="D16" s="9" t="n">
        <f aca="false">IF($A16=Atividades!$E$7,Atividades!$F$7,0)</f>
        <v>0</v>
      </c>
      <c r="E16" s="9" t="n">
        <f aca="false">IF($A16=Atividades!$E$8,Atividades!$F$8,0)</f>
        <v>0</v>
      </c>
      <c r="F16" s="9" t="n">
        <f aca="false">IF($A16=Atividades!$E$9,Atividades!$F$9,0)</f>
        <v>0</v>
      </c>
      <c r="G16" s="9" t="n">
        <f aca="false">SUM(C16:F16)</f>
        <v>0</v>
      </c>
      <c r="H16" s="9" t="n">
        <f aca="false">SUM($G$11:G16)</f>
        <v>0</v>
      </c>
      <c r="I16" s="10" t="n">
        <f aca="false">$B$5-H16</f>
        <v>34</v>
      </c>
      <c r="J16" s="10" t="n">
        <f aca="false">$B$5*(1-(A16-$A$11)/($A$25-$A$11))</f>
        <v>21.8571428571429</v>
      </c>
      <c r="K16" s="8" t="str">
        <f aca="false">IF(G16=0,"-",MID(IF(C16&gt;0,", #2","")&amp;IF(D16&gt;0,", #5","")&amp;IF(E16&gt;0,", #6","")&amp;IF(F16&gt;0,", #7",""),3,40))</f>
        <v>-</v>
      </c>
    </row>
    <row r="17" customFormat="false" ht="21.75" hidden="false" customHeight="true" outlineLevel="0" collapsed="false">
      <c r="A17" s="7" t="n">
        <v>46306</v>
      </c>
      <c r="B17" s="8" t="s">
        <v>24</v>
      </c>
      <c r="C17" s="9" t="n">
        <f aca="false">IF($A17=Atividades!$E$6,Atividades!$F$6,0)</f>
        <v>0</v>
      </c>
      <c r="D17" s="9" t="n">
        <f aca="false">IF($A17=Atividades!$E$7,Atividades!$F$7,0)</f>
        <v>0</v>
      </c>
      <c r="E17" s="9" t="n">
        <f aca="false">IF($A17=Atividades!$E$8,Atividades!$F$8,0)</f>
        <v>0</v>
      </c>
      <c r="F17" s="9" t="n">
        <f aca="false">IF($A17=Atividades!$E$9,Atividades!$F$9,0)</f>
        <v>0</v>
      </c>
      <c r="G17" s="9" t="n">
        <f aca="false">SUM(C17:F17)</f>
        <v>0</v>
      </c>
      <c r="H17" s="9" t="n">
        <f aca="false">SUM($G$11:G17)</f>
        <v>0</v>
      </c>
      <c r="I17" s="10" t="n">
        <f aca="false">$B$5-H17</f>
        <v>34</v>
      </c>
      <c r="J17" s="10" t="n">
        <f aca="false">$B$5*(1-(A17-$A$11)/($A$25-$A$11))</f>
        <v>19.4285714285714</v>
      </c>
      <c r="K17" s="8" t="str">
        <f aca="false">IF(G17=0,"-",MID(IF(C17&gt;0,", #2","")&amp;IF(D17&gt;0,", #5","")&amp;IF(E17&gt;0,", #6","")&amp;IF(F17&gt;0,", #7",""),3,40))</f>
        <v>-</v>
      </c>
    </row>
    <row r="18" customFormat="false" ht="21.75" hidden="false" customHeight="true" outlineLevel="0" collapsed="false">
      <c r="A18" s="7" t="n">
        <v>46307</v>
      </c>
      <c r="B18" s="8" t="s">
        <v>18</v>
      </c>
      <c r="C18" s="9" t="n">
        <f aca="false">IF($A18=Atividades!$E$6,Atividades!$F$6,0)</f>
        <v>0</v>
      </c>
      <c r="D18" s="9" t="n">
        <f aca="false">IF($A18=Atividades!$E$7,Atividades!$F$7,0)</f>
        <v>0</v>
      </c>
      <c r="E18" s="9" t="n">
        <f aca="false">IF($A18=Atividades!$E$8,Atividades!$F$8,0)</f>
        <v>0</v>
      </c>
      <c r="F18" s="9" t="n">
        <f aca="false">IF($A18=Atividades!$E$9,Atividades!$F$9,0)</f>
        <v>0</v>
      </c>
      <c r="G18" s="9" t="n">
        <f aca="false">SUM(C18:F18)</f>
        <v>0</v>
      </c>
      <c r="H18" s="9" t="n">
        <f aca="false">SUM($G$11:G18)</f>
        <v>0</v>
      </c>
      <c r="I18" s="10" t="n">
        <f aca="false">$B$5-H18</f>
        <v>34</v>
      </c>
      <c r="J18" s="10" t="n">
        <f aca="false">$B$5*(1-(A18-$A$11)/($A$25-$A$11))</f>
        <v>17</v>
      </c>
      <c r="K18" s="8" t="str">
        <f aca="false">IF(G18=0,"-",MID(IF(C18&gt;0,", #2","")&amp;IF(D18&gt;0,", #5","")&amp;IF(E18&gt;0,", #6","")&amp;IF(F18&gt;0,", #7",""),3,40))</f>
        <v>-</v>
      </c>
    </row>
    <row r="19" customFormat="false" ht="21.75" hidden="false" customHeight="true" outlineLevel="0" collapsed="false">
      <c r="A19" s="7" t="n">
        <v>46308</v>
      </c>
      <c r="B19" s="8" t="s">
        <v>19</v>
      </c>
      <c r="C19" s="9" t="n">
        <f aca="false">IF($A19=Atividades!$E$6,Atividades!$F$6,0)</f>
        <v>0</v>
      </c>
      <c r="D19" s="9" t="n">
        <f aca="false">IF($A19=Atividades!$E$7,Atividades!$F$7,0)</f>
        <v>0</v>
      </c>
      <c r="E19" s="9" t="n">
        <f aca="false">IF($A19=Atividades!$E$8,Atividades!$F$8,0)</f>
        <v>0</v>
      </c>
      <c r="F19" s="9" t="n">
        <f aca="false">IF($A19=Atividades!$E$9,Atividades!$F$9,0)</f>
        <v>13</v>
      </c>
      <c r="G19" s="9" t="n">
        <f aca="false">SUM(C19:F19)</f>
        <v>13</v>
      </c>
      <c r="H19" s="9" t="n">
        <f aca="false">SUM($G$11:G19)</f>
        <v>13</v>
      </c>
      <c r="I19" s="10" t="n">
        <f aca="false">$B$5-H19</f>
        <v>21</v>
      </c>
      <c r="J19" s="10" t="n">
        <f aca="false">$B$5*(1-(A19-$A$11)/($A$25-$A$11))</f>
        <v>14.5714285714286</v>
      </c>
      <c r="K19" s="8" t="str">
        <f aca="false">IF(G19=0,"-",MID(IF(C19&gt;0,", #2","")&amp;IF(D19&gt;0,", #5","")&amp;IF(E19&gt;0,", #6","")&amp;IF(F19&gt;0,", #7",""),3,40))</f>
        <v>#7</v>
      </c>
    </row>
    <row r="20" customFormat="false" ht="21.75" hidden="false" customHeight="true" outlineLevel="0" collapsed="false">
      <c r="A20" s="7" t="n">
        <v>46309</v>
      </c>
      <c r="B20" s="8" t="s">
        <v>20</v>
      </c>
      <c r="C20" s="9" t="n">
        <f aca="false">IF($A20=Atividades!$E$6,Atividades!$F$6,0)</f>
        <v>0</v>
      </c>
      <c r="D20" s="9" t="n">
        <f aca="false">IF($A20=Atividades!$E$7,Atividades!$F$7,0)</f>
        <v>0</v>
      </c>
      <c r="E20" s="9" t="n">
        <f aca="false">IF($A20=Atividades!$E$8,Atividades!$F$8,0)</f>
        <v>0</v>
      </c>
      <c r="F20" s="9" t="n">
        <f aca="false">IF($A20=Atividades!$E$9,Atividades!$F$9,0)</f>
        <v>0</v>
      </c>
      <c r="G20" s="9" t="n">
        <f aca="false">SUM(C20:F20)</f>
        <v>0</v>
      </c>
      <c r="H20" s="9" t="n">
        <f aca="false">SUM($G$11:G20)</f>
        <v>13</v>
      </c>
      <c r="I20" s="10" t="n">
        <f aca="false">$B$5-H20</f>
        <v>21</v>
      </c>
      <c r="J20" s="10" t="n">
        <f aca="false">$B$5*(1-(A20-$A$11)/($A$25-$A$11))</f>
        <v>12.1428571428571</v>
      </c>
      <c r="K20" s="8" t="str">
        <f aca="false">IF(G20=0,"-",MID(IF(C20&gt;0,", #2","")&amp;IF(D20&gt;0,", #5","")&amp;IF(E20&gt;0,", #6","")&amp;IF(F20&gt;0,", #7",""),3,40))</f>
        <v>-</v>
      </c>
    </row>
    <row r="21" customFormat="false" ht="21.75" hidden="false" customHeight="true" outlineLevel="0" collapsed="false">
      <c r="A21" s="7" t="n">
        <v>46310</v>
      </c>
      <c r="B21" s="8" t="s">
        <v>21</v>
      </c>
      <c r="C21" s="9" t="n">
        <f aca="false">IF($A21=Atividades!$E$6,Atividades!$F$6,0)</f>
        <v>0</v>
      </c>
      <c r="D21" s="9" t="n">
        <f aca="false">IF($A21=Atividades!$E$7,Atividades!$F$7,0)</f>
        <v>0</v>
      </c>
      <c r="E21" s="9" t="n">
        <f aca="false">IF($A21=Atividades!$E$8,Atividades!$F$8,0)</f>
        <v>0</v>
      </c>
      <c r="F21" s="9" t="n">
        <f aca="false">IF($A21=Atividades!$E$9,Atividades!$F$9,0)</f>
        <v>0</v>
      </c>
      <c r="G21" s="9" t="n">
        <f aca="false">SUM(C21:F21)</f>
        <v>0</v>
      </c>
      <c r="H21" s="9" t="n">
        <f aca="false">SUM($G$11:G21)</f>
        <v>13</v>
      </c>
      <c r="I21" s="10" t="n">
        <f aca="false">$B$5-H21</f>
        <v>21</v>
      </c>
      <c r="J21" s="10" t="n">
        <f aca="false">$B$5*(1-(A21-$A$11)/($A$25-$A$11))</f>
        <v>9.71428571428571</v>
      </c>
      <c r="K21" s="8" t="str">
        <f aca="false">IF(G21=0,"-",MID(IF(C21&gt;0,", #2","")&amp;IF(D21&gt;0,", #5","")&amp;IF(E21&gt;0,", #6","")&amp;IF(F21&gt;0,", #7",""),3,40))</f>
        <v>-</v>
      </c>
    </row>
    <row r="22" customFormat="false" ht="21.75" hidden="false" customHeight="true" outlineLevel="0" collapsed="false">
      <c r="A22" s="7" t="n">
        <v>46311</v>
      </c>
      <c r="B22" s="8" t="s">
        <v>22</v>
      </c>
      <c r="C22" s="9" t="n">
        <f aca="false">IF($A22=Atividades!$E$6,Atividades!$F$6,0)</f>
        <v>0</v>
      </c>
      <c r="D22" s="9" t="n">
        <f aca="false">IF($A22=Atividades!$E$7,Atividades!$F$7,0)</f>
        <v>5</v>
      </c>
      <c r="E22" s="9" t="n">
        <f aca="false">IF($A22=Atividades!$E$8,Atividades!$F$8,0)</f>
        <v>0</v>
      </c>
      <c r="F22" s="9" t="n">
        <f aca="false">IF($A22=Atividades!$E$9,Atividades!$F$9,0)</f>
        <v>0</v>
      </c>
      <c r="G22" s="9" t="n">
        <f aca="false">SUM(C22:F22)</f>
        <v>5</v>
      </c>
      <c r="H22" s="9" t="n">
        <f aca="false">SUM($G$11:G22)</f>
        <v>18</v>
      </c>
      <c r="I22" s="10" t="n">
        <f aca="false">$B$5-H22</f>
        <v>16</v>
      </c>
      <c r="J22" s="10" t="n">
        <f aca="false">$B$5*(1-(A22-$A$11)/($A$25-$A$11))</f>
        <v>7.28571428571429</v>
      </c>
      <c r="K22" s="8" t="str">
        <f aca="false">IF(G22=0,"-",MID(IF(C22&gt;0,", #2","")&amp;IF(D22&gt;0,", #5","")&amp;IF(E22&gt;0,", #6","")&amp;IF(F22&gt;0,", #7",""),3,40))</f>
        <v>#5</v>
      </c>
    </row>
    <row r="23" customFormat="false" ht="21.75" hidden="false" customHeight="true" outlineLevel="0" collapsed="false">
      <c r="A23" s="7" t="n">
        <v>46312</v>
      </c>
      <c r="B23" s="8" t="s">
        <v>23</v>
      </c>
      <c r="C23" s="9" t="n">
        <f aca="false">IF($A23=Atividades!$E$6,Atividades!$F$6,0)</f>
        <v>0</v>
      </c>
      <c r="D23" s="9" t="n">
        <f aca="false">IF($A23=Atividades!$E$7,Atividades!$F$7,0)</f>
        <v>0</v>
      </c>
      <c r="E23" s="9" t="n">
        <f aca="false">IF($A23=Atividades!$E$8,Atividades!$F$8,0)</f>
        <v>0</v>
      </c>
      <c r="F23" s="9" t="n">
        <f aca="false">IF($A23=Atividades!$E$9,Atividades!$F$9,0)</f>
        <v>0</v>
      </c>
      <c r="G23" s="9" t="n">
        <f aca="false">SUM(C23:F23)</f>
        <v>0</v>
      </c>
      <c r="H23" s="9" t="n">
        <f aca="false">SUM($G$11:G23)</f>
        <v>18</v>
      </c>
      <c r="I23" s="10" t="n">
        <f aca="false">$B$5-H23</f>
        <v>16</v>
      </c>
      <c r="J23" s="10" t="n">
        <f aca="false">$B$5*(1-(A23-$A$11)/($A$25-$A$11))</f>
        <v>4.85714285714286</v>
      </c>
      <c r="K23" s="8" t="str">
        <f aca="false">IF(G23=0,"-",MID(IF(C23&gt;0,", #2","")&amp;IF(D23&gt;0,", #5","")&amp;IF(E23&gt;0,", #6","")&amp;IF(F23&gt;0,", #7",""),3,40))</f>
        <v>-</v>
      </c>
    </row>
    <row r="24" customFormat="false" ht="21.75" hidden="false" customHeight="true" outlineLevel="0" collapsed="false">
      <c r="A24" s="7" t="n">
        <v>46313</v>
      </c>
      <c r="B24" s="8" t="s">
        <v>24</v>
      </c>
      <c r="C24" s="9" t="n">
        <f aca="false">IF($A24=Atividades!$E$6,Atividades!$F$6,0)</f>
        <v>0</v>
      </c>
      <c r="D24" s="9" t="n">
        <f aca="false">IF($A24=Atividades!$E$7,Atividades!$F$7,0)</f>
        <v>0</v>
      </c>
      <c r="E24" s="9" t="n">
        <f aca="false">IF($A24=Atividades!$E$8,Atividades!$F$8,0)</f>
        <v>0</v>
      </c>
      <c r="F24" s="9" t="n">
        <f aca="false">IF($A24=Atividades!$E$9,Atividades!$F$9,0)</f>
        <v>0</v>
      </c>
      <c r="G24" s="9" t="n">
        <f aca="false">SUM(C24:F24)</f>
        <v>0</v>
      </c>
      <c r="H24" s="9" t="n">
        <f aca="false">SUM($G$11:G24)</f>
        <v>18</v>
      </c>
      <c r="I24" s="10" t="n">
        <f aca="false">$B$5-H24</f>
        <v>16</v>
      </c>
      <c r="J24" s="10" t="n">
        <f aca="false">$B$5*(1-(A24-$A$11)/($A$25-$A$11))</f>
        <v>2.42857142857143</v>
      </c>
      <c r="K24" s="8" t="str">
        <f aca="false">IF(G24=0,"-",MID(IF(C24&gt;0,", #2","")&amp;IF(D24&gt;0,", #5","")&amp;IF(E24&gt;0,", #6","")&amp;IF(F24&gt;0,", #7",""),3,40))</f>
        <v>-</v>
      </c>
    </row>
    <row r="25" customFormat="false" ht="21.75" hidden="false" customHeight="true" outlineLevel="0" collapsed="false">
      <c r="A25" s="7" t="n">
        <v>46314</v>
      </c>
      <c r="B25" s="8" t="s">
        <v>18</v>
      </c>
      <c r="C25" s="9" t="n">
        <f aca="false">IF($A25=Atividades!$E$6,Atividades!$F$6,0)</f>
        <v>8</v>
      </c>
      <c r="D25" s="9" t="n">
        <f aca="false">IF($A25=Atividades!$E$7,Atividades!$F$7,0)</f>
        <v>0</v>
      </c>
      <c r="E25" s="9" t="n">
        <f aca="false">IF($A25=Atividades!$E$8,Atividades!$F$8,0)</f>
        <v>8</v>
      </c>
      <c r="F25" s="9" t="n">
        <f aca="false">IF($A25=Atividades!$E$9,Atividades!$F$9,0)</f>
        <v>0</v>
      </c>
      <c r="G25" s="9" t="n">
        <f aca="false">SUM(C25:F25)</f>
        <v>16</v>
      </c>
      <c r="H25" s="9" t="n">
        <f aca="false">SUM($G$11:G25)</f>
        <v>34</v>
      </c>
      <c r="I25" s="10" t="n">
        <f aca="false">$B$5-H25</f>
        <v>0</v>
      </c>
      <c r="J25" s="10" t="n">
        <f aca="false">$B$5*(1-(A25-$A$11)/($A$25-$A$11))</f>
        <v>0</v>
      </c>
      <c r="K25" s="8" t="str">
        <f aca="false">IF(G25=0,"-",MID(IF(C25&gt;0,", #2","")&amp;IF(D25&gt;0,", #5","")&amp;IF(E25&gt;0,", #6","")&amp;IF(F25&gt;0,", #7",""),3,40))</f>
        <v>#2, #6</v>
      </c>
    </row>
    <row r="27" customFormat="false" ht="15" hidden="false" customHeight="false" outlineLevel="0" collapsed="false">
      <c r="A27" s="11" t="s">
        <v>25</v>
      </c>
      <c r="B27" s="11"/>
      <c r="C27" s="12" t="n">
        <f aca="false">SUM(C11:C25)</f>
        <v>8</v>
      </c>
      <c r="D27" s="12" t="n">
        <f aca="false">SUM(D11:D25)</f>
        <v>5</v>
      </c>
      <c r="E27" s="12" t="n">
        <f aca="false">SUM(E11:E25)</f>
        <v>8</v>
      </c>
      <c r="F27" s="12" t="n">
        <f aca="false">SUM(F11:F25)</f>
        <v>13</v>
      </c>
      <c r="G27" s="12" t="n">
        <f aca="false">SUM(G11:G25)</f>
        <v>34</v>
      </c>
      <c r="H27" s="12" t="n">
        <f aca="false">MAX(H11:H25)</f>
        <v>34</v>
      </c>
      <c r="I27" s="13" t="n">
        <f aca="false">I25</f>
        <v>0</v>
      </c>
      <c r="J27" s="13" t="n">
        <f aca="false">J25</f>
        <v>0</v>
      </c>
      <c r="K27" s="11"/>
    </row>
    <row r="29" customFormat="false" ht="15" hidden="false" customHeight="false" outlineLevel="0" collapsed="false">
      <c r="A29" s="2" t="s">
        <v>26</v>
      </c>
    </row>
  </sheetData>
  <conditionalFormatting sqref="A11:K25">
    <cfRule type="expression" priority="2" aboveAverage="0" equalAverage="0" bottom="0" percent="0" rank="0" text="" dxfId="0">
      <formula>$G11&gt;0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75B5"/>
    <pageSetUpPr fitToPage="false"/>
  </sheetPr>
  <dimension ref="A2:I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4"/>
    <col collapsed="false" customWidth="true" hidden="false" outlineLevel="0" max="3" min="3" style="0" width="25"/>
    <col collapsed="false" customWidth="true" hidden="false" outlineLevel="0" max="4" min="4" style="0" width="32"/>
    <col collapsed="false" customWidth="true" hidden="false" outlineLevel="0" max="5" min="5" style="0" width="18"/>
    <col collapsed="false" customWidth="true" hidden="false" outlineLevel="0" max="6" min="6" style="0" width="17"/>
    <col collapsed="false" customWidth="true" hidden="false" outlineLevel="0" max="7" min="7" style="0" width="55"/>
    <col collapsed="false" customWidth="true" hidden="false" outlineLevel="0" max="8" min="8" style="0" width="14"/>
    <col collapsed="false" customWidth="true" hidden="false" outlineLevel="0" max="9" min="9" style="0" width="44"/>
  </cols>
  <sheetData>
    <row r="2" customFormat="false" ht="19.7" hidden="false" customHeight="false" outlineLevel="0" collapsed="false">
      <c r="A2" s="1" t="s">
        <v>27</v>
      </c>
    </row>
    <row r="3" customFormat="false" ht="15" hidden="false" customHeight="false" outlineLevel="0" collapsed="false">
      <c r="A3" s="2" t="s">
        <v>28</v>
      </c>
    </row>
    <row r="5" customFormat="false" ht="15" hidden="false" customHeight="false" outlineLevel="0" collapsed="false">
      <c r="A5" s="6" t="s">
        <v>29</v>
      </c>
      <c r="B5" s="6" t="s">
        <v>30</v>
      </c>
      <c r="C5" s="6" t="s">
        <v>31</v>
      </c>
      <c r="D5" s="6" t="s">
        <v>32</v>
      </c>
      <c r="E5" s="6" t="s">
        <v>33</v>
      </c>
      <c r="F5" s="6" t="s">
        <v>34</v>
      </c>
      <c r="G5" s="6" t="s">
        <v>35</v>
      </c>
      <c r="H5" s="6" t="s">
        <v>36</v>
      </c>
      <c r="I5" s="6" t="s">
        <v>37</v>
      </c>
    </row>
    <row r="6" customFormat="false" ht="33.75" hidden="false" customHeight="true" outlineLevel="0" collapsed="false">
      <c r="A6" s="8" t="s">
        <v>38</v>
      </c>
      <c r="B6" s="14" t="s">
        <v>39</v>
      </c>
      <c r="C6" s="14" t="s">
        <v>40</v>
      </c>
      <c r="D6" s="14" t="s">
        <v>41</v>
      </c>
      <c r="E6" s="7" t="n">
        <v>46314</v>
      </c>
      <c r="F6" s="15" t="n">
        <v>8</v>
      </c>
      <c r="G6" s="14" t="s">
        <v>42</v>
      </c>
      <c r="H6" s="16" t="s">
        <v>43</v>
      </c>
      <c r="I6" s="17" t="s">
        <v>44</v>
      </c>
    </row>
    <row r="7" customFormat="false" ht="33.75" hidden="false" customHeight="true" outlineLevel="0" collapsed="false">
      <c r="A7" s="8" t="s">
        <v>45</v>
      </c>
      <c r="B7" s="14" t="s">
        <v>46</v>
      </c>
      <c r="C7" s="14" t="s">
        <v>47</v>
      </c>
      <c r="D7" s="14" t="s">
        <v>48</v>
      </c>
      <c r="E7" s="7" t="n">
        <v>46311</v>
      </c>
      <c r="F7" s="15" t="n">
        <v>5</v>
      </c>
      <c r="G7" s="14" t="s">
        <v>49</v>
      </c>
      <c r="H7" s="16" t="s">
        <v>43</v>
      </c>
      <c r="I7" s="17" t="s">
        <v>50</v>
      </c>
    </row>
    <row r="8" customFormat="false" ht="33.75" hidden="false" customHeight="true" outlineLevel="0" collapsed="false">
      <c r="A8" s="8" t="s">
        <v>51</v>
      </c>
      <c r="B8" s="14" t="s">
        <v>52</v>
      </c>
      <c r="C8" s="14" t="s">
        <v>53</v>
      </c>
      <c r="D8" s="14" t="s">
        <v>54</v>
      </c>
      <c r="E8" s="7" t="n">
        <v>46314</v>
      </c>
      <c r="F8" s="15" t="n">
        <v>8</v>
      </c>
      <c r="G8" s="14" t="s">
        <v>55</v>
      </c>
      <c r="H8" s="16" t="s">
        <v>43</v>
      </c>
      <c r="I8" s="17" t="s">
        <v>56</v>
      </c>
    </row>
    <row r="9" customFormat="false" ht="33.75" hidden="false" customHeight="true" outlineLevel="0" collapsed="false">
      <c r="A9" s="8" t="s">
        <v>57</v>
      </c>
      <c r="B9" s="14" t="s">
        <v>58</v>
      </c>
      <c r="C9" s="14" t="s">
        <v>47</v>
      </c>
      <c r="D9" s="14" t="s">
        <v>59</v>
      </c>
      <c r="E9" s="7" t="n">
        <v>46308</v>
      </c>
      <c r="F9" s="15" t="n">
        <v>13</v>
      </c>
      <c r="G9" s="14" t="s">
        <v>60</v>
      </c>
      <c r="H9" s="16" t="s">
        <v>43</v>
      </c>
      <c r="I9" s="17" t="s">
        <v>61</v>
      </c>
    </row>
    <row r="11" customFormat="false" ht="15" hidden="false" customHeight="false" outlineLevel="0" collapsed="false">
      <c r="A11" s="11" t="s">
        <v>62</v>
      </c>
      <c r="B11" s="11"/>
      <c r="C11" s="11"/>
      <c r="D11" s="11"/>
      <c r="E11" s="11"/>
      <c r="F11" s="18" t="n">
        <f aca="false">SUM(F6:F9)</f>
        <v>34</v>
      </c>
      <c r="G11" s="11"/>
      <c r="H11" s="11"/>
      <c r="I11" s="11"/>
    </row>
    <row r="14" customFormat="false" ht="15" hidden="false" customHeight="false" outlineLevel="0" collapsed="false">
      <c r="A14" s="5" t="s">
        <v>63</v>
      </c>
    </row>
    <row r="15" customFormat="false" ht="15" hidden="false" customHeight="false" outlineLevel="0" collapsed="false">
      <c r="A15" s="19" t="s">
        <v>64</v>
      </c>
      <c r="B15" s="20" t="s">
        <v>65</v>
      </c>
    </row>
    <row r="16" customFormat="false" ht="15" hidden="false" customHeight="false" outlineLevel="0" collapsed="false">
      <c r="A16" s="19" t="s">
        <v>66</v>
      </c>
      <c r="B16" s="20" t="s">
        <v>67</v>
      </c>
    </row>
    <row r="17" customFormat="false" ht="15" hidden="false" customHeight="false" outlineLevel="0" collapsed="false">
      <c r="A17" s="19" t="s">
        <v>68</v>
      </c>
      <c r="B17" s="20" t="s">
        <v>69</v>
      </c>
    </row>
    <row r="18" customFormat="false" ht="15" hidden="false" customHeight="false" outlineLevel="0" collapsed="false">
      <c r="A18" s="19" t="s">
        <v>70</v>
      </c>
      <c r="B18" s="21" t="s">
        <v>71</v>
      </c>
    </row>
    <row r="19" customFormat="false" ht="15" hidden="false" customHeight="false" outlineLevel="0" collapsed="false">
      <c r="A19" s="19" t="s">
        <v>72</v>
      </c>
      <c r="B19" s="21" t="s">
        <v>73</v>
      </c>
    </row>
    <row r="20" customFormat="false" ht="15" hidden="false" customHeight="false" outlineLevel="0" collapsed="false">
      <c r="A20" s="19" t="s">
        <v>74</v>
      </c>
      <c r="B20" s="21" t="s">
        <v>75</v>
      </c>
    </row>
    <row r="21" customFormat="false" ht="15" hidden="false" customHeight="false" outlineLevel="0" collapsed="false">
      <c r="A21" s="19" t="s">
        <v>76</v>
      </c>
      <c r="B21" s="21" t="s">
        <v>77</v>
      </c>
    </row>
  </sheetData>
  <hyperlinks>
    <hyperlink ref="I6" r:id="rId1" display="https://github.com/MultiCoreDSM/ABP/issues/2"/>
    <hyperlink ref="I7" r:id="rId2" display="https://github.com/MultiCoreDSM/ABP/issues/5"/>
    <hyperlink ref="I8" r:id="rId3" display="https://github.com/MultiCoreDSM/ABP/issues/6"/>
    <hyperlink ref="I9" r:id="rId4" display="https://github.com/MultiCoreDSM/ABP/issues/7"/>
    <hyperlink ref="B15" r:id="rId5" display="https://github.com/MultiCoreDSM/ABP"/>
    <hyperlink ref="B16" r:id="rId6" display="https://github.com/MultiCoreDSM/ABP/blob/main/docs/sprints/sprint-1/BACKLOG.md"/>
    <hyperlink ref="B17" r:id="rId7" display="https://github.com/users/MultiCoreDSM/projects/1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2026-10-22T21:50:24Z</dcterms:created>
  <dc:creator>openpyxl</dc:creator>
  <dc:description/>
  <dc:language>en-US</dc:language>
  <cp:lastModifiedBy/>
  <dcterms:modified xsi:type="dcterms:W3CDTF">2026-10-22T21:50:25Z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